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Koding\Python\SPK_Performa_Karyawan\"/>
    </mc:Choice>
  </mc:AlternateContent>
  <xr:revisionPtr revIDLastSave="0" documentId="13_ncr:1_{09BF5A0C-F29E-49C3-B782-EA853258BF32}" xr6:coauthVersionLast="47" xr6:coauthVersionMax="47" xr10:uidLastSave="{00000000-0000-0000-0000-000000000000}"/>
  <bookViews>
    <workbookView xWindow="-120" yWindow="-120" windowWidth="19440" windowHeight="11040" xr2:uid="{00000000-000D-0000-FFFF-FFFF00000000}"/>
  </bookViews>
  <sheets>
    <sheet name="Metode AH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" l="1"/>
  <c r="F11" i="1"/>
  <c r="C11" i="1"/>
  <c r="K10" i="1"/>
  <c r="F10" i="1"/>
  <c r="C10" i="1"/>
  <c r="H9" i="1"/>
  <c r="G9" i="1"/>
  <c r="F9" i="1"/>
  <c r="E9" i="1"/>
  <c r="C9" i="1"/>
  <c r="J9" i="1"/>
  <c r="K8" i="1"/>
  <c r="J8" i="1"/>
  <c r="F8" i="1"/>
  <c r="E8" i="1"/>
  <c r="C8" i="1"/>
  <c r="C7" i="1"/>
  <c r="E7" i="1"/>
  <c r="F7" i="1"/>
  <c r="J7" i="1"/>
  <c r="K7" i="1"/>
  <c r="C6" i="1"/>
  <c r="K5" i="1"/>
  <c r="J5" i="1"/>
  <c r="F5" i="1"/>
  <c r="C5" i="1"/>
  <c r="K4" i="1"/>
  <c r="J4" i="1"/>
  <c r="H4" i="1"/>
  <c r="G4" i="1"/>
  <c r="F4" i="1"/>
  <c r="E4" i="1"/>
  <c r="C4" i="1"/>
  <c r="K2" i="1"/>
  <c r="J2" i="1"/>
  <c r="H2" i="1"/>
  <c r="G2" i="1"/>
  <c r="F2" i="1"/>
  <c r="E2" i="1"/>
  <c r="C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Cyclone132</author>
  </authors>
  <commentList>
    <comment ref="C2" authorId="0" shapeId="0" xr:uid="{87D7E869-7087-4EA6-86E8-B0836CC170D6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7</t>
        </r>
      </text>
    </comment>
    <comment ref="E2" authorId="0" shapeId="0" xr:uid="{085F3AFC-3721-4B8C-B770-031DEA37E168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F2" authorId="0" shapeId="0" xr:uid="{30EB3FDC-3F6B-49C4-963F-EBA7817D9E74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G2" authorId="0" shapeId="0" xr:uid="{E66AA21B-EED3-4726-9BC5-8236FCDE0123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H2" authorId="0" shapeId="0" xr:uid="{773D1DB7-5216-49F7-8F5E-FFD512C923F4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J2" authorId="0" shapeId="0" xr:uid="{E96D162E-7082-4AC0-91D7-4C80D760BAFC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K2" authorId="0" shapeId="0" xr:uid="{7C36807E-38BE-4803-B826-ED5577A95937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C4" authorId="0" shapeId="0" xr:uid="{E9E057F0-BADB-4131-BC75-CE7506E38E6F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E4" authorId="0" shapeId="0" xr:uid="{9E1C7FE3-C72A-4C69-8F8B-DB052D7C6A6F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F4" authorId="0" shapeId="0" xr:uid="{160F5CB5-DC99-4D13-94A4-F9C2B7CDD601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1/ 5</t>
        </r>
      </text>
    </comment>
    <comment ref="G4" authorId="0" shapeId="0" xr:uid="{AAA3AA28-314B-4435-85AE-32196E875672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H4" authorId="0" shapeId="0" xr:uid="{9500B2BA-10D7-455C-840D-C2F1162355BA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J4" authorId="0" shapeId="0" xr:uid="{6DFFFC47-8285-438C-B811-9DB4038FF29F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K4" authorId="0" shapeId="0" xr:uid="{E02B6B3E-CF15-4352-93A6-401C4FCA180F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C5" authorId="0" shapeId="0" xr:uid="{F471134E-7581-4254-B3ED-88F22C47935D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F5" authorId="0" shapeId="0" xr:uid="{4D57C78C-9529-4A67-B528-C80E88A66F56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J5" authorId="0" shapeId="0" xr:uid="{A6C1D2CC-985A-45D5-AE44-6B5EF75F586F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K5" authorId="0" shapeId="0" xr:uid="{36FB39A1-8F71-414F-B5A1-BFC016DD0927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C6" authorId="0" shapeId="0" xr:uid="{A8D6634F-1072-422B-BC50-BA4F2724B958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C7" authorId="0" shapeId="0" xr:uid="{3A5ABC57-C061-4977-AB81-47EF98ADFA22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E7" authorId="0" shapeId="0" xr:uid="{221ABB1B-CDD3-47CE-97F0-E67317833ADF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F7" authorId="0" shapeId="0" xr:uid="{3507A355-71AE-4CA5-A1E0-47F4948BDDB9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J7" authorId="0" shapeId="0" xr:uid="{D5EB3C7A-8987-4D6D-B93F-704F306BE027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K7" authorId="0" shapeId="0" xr:uid="{4459CA34-9C83-4AEC-88D1-47F701B987CC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C8" authorId="0" shapeId="0" xr:uid="{6208FC09-C6B9-4A7B-9C0C-1DC40C427AD9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E8" authorId="0" shapeId="0" xr:uid="{9F15536A-EF6D-406C-A2FB-DA0904CBF411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F8" authorId="0" shapeId="0" xr:uid="{EC4260E0-2389-48BA-A152-CDC21CB4BB90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J8" authorId="0" shapeId="0" xr:uid="{9D4F48F8-02BD-4E0E-BF59-38A15BEC2EA1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K8" authorId="0" shapeId="0" xr:uid="{46409144-0F8C-4DE0-95A9-671951E69DF6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C9" authorId="0" shapeId="0" xr:uid="{8D091069-D63E-4F61-A1FD-DD8DCA77E594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7</t>
        </r>
      </text>
    </comment>
    <comment ref="E9" authorId="0" shapeId="0" xr:uid="{AA4427B2-0C8C-45A0-A0BC-29909CD38DA6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F9" authorId="0" shapeId="0" xr:uid="{B7DCEC65-BB6C-43A0-9982-5932F9886DA9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G9" authorId="0" shapeId="0" xr:uid="{F4EF54CB-4EF2-4647-9D5B-8F923D51A3BE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H9" authorId="0" shapeId="0" xr:uid="{638A241A-1105-4B5C-B09B-3B7319375678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J9" authorId="0" shapeId="0" xr:uid="{1DD60CF2-5060-4989-9228-7A3E978959DF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K9" authorId="0" shapeId="0" xr:uid="{70630915-5723-43AD-9E7A-1FB6C445705B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5</t>
        </r>
      </text>
    </comment>
    <comment ref="C10" authorId="0" shapeId="0" xr:uid="{C9B8BF29-328B-434E-8289-263A729A65A8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F10" authorId="0" shapeId="0" xr:uid="{10E403F2-2EC9-4304-AEAE-2B986B980FD5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K10" authorId="0" shapeId="0" xr:uid="{90874B28-D6BA-46AA-8328-9A5595A7D4DE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C11" authorId="0" shapeId="0" xr:uid="{633247D3-06F0-4827-8465-2A669A58F674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  <comment ref="F11" authorId="0" shapeId="0" xr:uid="{966B5CAB-887B-4D90-9195-E0A2AE594566}">
      <text>
        <r>
          <rPr>
            <b/>
            <sz val="9"/>
            <color indexed="81"/>
            <rFont val="Tahoma"/>
            <family val="2"/>
          </rPr>
          <t>Cyclone132:</t>
        </r>
        <r>
          <rPr>
            <sz val="9"/>
            <color indexed="81"/>
            <rFont val="Tahoma"/>
            <family val="2"/>
          </rPr>
          <t xml:space="preserve">
1 / 3</t>
        </r>
      </text>
    </comment>
  </commentList>
</comments>
</file>

<file path=xl/sharedStrings.xml><?xml version="1.0" encoding="utf-8"?>
<sst xmlns="http://schemas.openxmlformats.org/spreadsheetml/2006/main" count="21" uniqueCount="12">
  <si>
    <t>Usia</t>
  </si>
  <si>
    <t>Skor_Performa</t>
  </si>
  <si>
    <t>Gaji_Per_Bulan_USD</t>
  </si>
  <si>
    <t>Jam_Kerja_Per_Minggu</t>
  </si>
  <si>
    <t>Proyek_Yang_Ditangani</t>
  </si>
  <si>
    <t>Jumlah_Jam_Lembur</t>
  </si>
  <si>
    <t>Jumlah_Hari_Sakit</t>
  </si>
  <si>
    <t>Frekuensi_Kerja_Remot_Persen</t>
  </si>
  <si>
    <t>Jumlah_Anggota_Tim</t>
  </si>
  <si>
    <t>Skor_Kepuasan_Karyawan</t>
  </si>
  <si>
    <t>Gaji_Per_Bulan_USDollar</t>
  </si>
  <si>
    <t>Kriteria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</si>
</sst>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7"/>
  <sheetViews>
    <sheetView tabSelected="1" zoomScaleNormal="100" workbookViewId="0">
      <selection activeCell="F5" sqref="F5"/>
    </sheetView>
  </sheetViews>
  <sheetFormatPr defaultRowHeight="15.75" x14ac:dyDescent="0.25"/>
  <cols>
    <col min="1" max="1" width="33.140625" style="3" bestFit="1" customWidth="1"/>
    <col min="2" max="2" width="5.28515625" style="3" bestFit="1" customWidth="1"/>
    <col min="3" max="3" width="15.7109375" style="3" bestFit="1" customWidth="1"/>
    <col min="4" max="4" width="26.7109375" style="3" bestFit="1" customWidth="1"/>
    <col min="5" max="5" width="25" style="3" bestFit="1" customWidth="1"/>
    <col min="6" max="6" width="24.7109375" style="3" bestFit="1" customWidth="1"/>
    <col min="7" max="7" width="22" style="3" bestFit="1" customWidth="1"/>
    <col min="8" max="8" width="19.7109375" style="3" bestFit="1" customWidth="1"/>
    <col min="9" max="9" width="33.140625" style="3" bestFit="1" customWidth="1"/>
    <col min="10" max="10" width="22.28515625" style="3" bestFit="1" customWidth="1"/>
    <col min="11" max="11" width="27.7109375" style="3" bestFit="1" customWidth="1"/>
    <col min="12" max="12" width="5.5703125" style="5" bestFit="1" customWidth="1"/>
    <col min="13" max="13" width="33.140625" style="3" bestFit="1" customWidth="1"/>
    <col min="14" max="14" width="5.28515625" style="3" bestFit="1" customWidth="1"/>
    <col min="15" max="15" width="15.7109375" style="3" bestFit="1" customWidth="1"/>
    <col min="16" max="16" width="22.28515625" style="3" bestFit="1" customWidth="1"/>
    <col min="17" max="17" width="25" style="3" bestFit="1" customWidth="1"/>
    <col min="18" max="18" width="24.7109375" style="3" bestFit="1" customWidth="1"/>
    <col min="19" max="19" width="22" style="3" bestFit="1" customWidth="1"/>
    <col min="20" max="20" width="19.7109375" style="3" bestFit="1" customWidth="1"/>
    <col min="21" max="21" width="33.140625" style="3" bestFit="1" customWidth="1"/>
    <col min="22" max="22" width="22.28515625" style="3" bestFit="1" customWidth="1"/>
    <col min="23" max="23" width="27.7109375" style="3" bestFit="1" customWidth="1"/>
    <col min="24" max="24" width="18.7109375" style="3" bestFit="1" customWidth="1"/>
    <col min="25" max="25" width="9.140625" style="3"/>
    <col min="26" max="26" width="5" style="3" bestFit="1" customWidth="1"/>
    <col min="27" max="27" width="6.5703125" style="3" bestFit="1" customWidth="1"/>
    <col min="28" max="28" width="5" style="3" bestFit="1" customWidth="1"/>
    <col min="29" max="29" width="6.85546875" style="3" bestFit="1" customWidth="1"/>
    <col min="30" max="16384" width="9.140625" style="3"/>
  </cols>
  <sheetData>
    <row r="1" spans="1:12" x14ac:dyDescent="0.25">
      <c r="A1" s="1" t="s">
        <v>11</v>
      </c>
      <c r="B1" s="1" t="s">
        <v>0</v>
      </c>
      <c r="C1" s="1" t="s">
        <v>1</v>
      </c>
      <c r="D1" s="1" t="s">
        <v>10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3"/>
    </row>
    <row r="2" spans="1:12" x14ac:dyDescent="0.25">
      <c r="A2" s="4" t="s">
        <v>0</v>
      </c>
      <c r="B2" s="9">
        <v>1</v>
      </c>
      <c r="C2" s="2">
        <f>1 / 7</f>
        <v>0.14285714285714285</v>
      </c>
      <c r="D2" s="2">
        <v>1</v>
      </c>
      <c r="E2" s="2">
        <f>1 / 3</f>
        <v>0.33333333333333331</v>
      </c>
      <c r="F2" s="2">
        <f>1 / 5</f>
        <v>0.2</v>
      </c>
      <c r="G2" s="2">
        <f>1 / 3</f>
        <v>0.33333333333333331</v>
      </c>
      <c r="H2" s="2">
        <f>1 / 3</f>
        <v>0.33333333333333331</v>
      </c>
      <c r="I2" s="2">
        <v>1</v>
      </c>
      <c r="J2" s="2">
        <f>1 / 5</f>
        <v>0.2</v>
      </c>
      <c r="K2" s="2">
        <f>1 / 5</f>
        <v>0.2</v>
      </c>
      <c r="L2" s="3"/>
    </row>
    <row r="3" spans="1:12" x14ac:dyDescent="0.25">
      <c r="A3" s="8" t="s">
        <v>1</v>
      </c>
      <c r="B3" s="2">
        <v>7</v>
      </c>
      <c r="C3" s="2">
        <v>1</v>
      </c>
      <c r="D3" s="2">
        <v>5</v>
      </c>
      <c r="E3" s="2">
        <v>5</v>
      </c>
      <c r="F3" s="2">
        <v>3</v>
      </c>
      <c r="G3" s="2">
        <v>5</v>
      </c>
      <c r="H3" s="2">
        <v>5</v>
      </c>
      <c r="I3" s="2">
        <v>7</v>
      </c>
      <c r="J3" s="2">
        <v>3</v>
      </c>
      <c r="K3" s="2">
        <v>3</v>
      </c>
      <c r="L3" s="6"/>
    </row>
    <row r="4" spans="1:12" x14ac:dyDescent="0.25">
      <c r="A4" s="4" t="s">
        <v>2</v>
      </c>
      <c r="B4" s="2">
        <v>1</v>
      </c>
      <c r="C4" s="2">
        <f>1 / 5</f>
        <v>0.2</v>
      </c>
      <c r="D4" s="2">
        <v>1</v>
      </c>
      <c r="E4" s="2">
        <f>1 / 3</f>
        <v>0.33333333333333331</v>
      </c>
      <c r="F4" s="2">
        <f>1 / 5</f>
        <v>0.2</v>
      </c>
      <c r="G4" s="2">
        <f>1 / 3</f>
        <v>0.33333333333333331</v>
      </c>
      <c r="H4" s="2">
        <f>1 / 3</f>
        <v>0.33333333333333331</v>
      </c>
      <c r="I4" s="2">
        <v>1</v>
      </c>
      <c r="J4" s="2">
        <f>1 / 3</f>
        <v>0.33333333333333331</v>
      </c>
      <c r="K4" s="2">
        <f>1 / 3</f>
        <v>0.33333333333333331</v>
      </c>
      <c r="L4" s="7"/>
    </row>
    <row r="5" spans="1:12" x14ac:dyDescent="0.25">
      <c r="A5" s="4" t="s">
        <v>3</v>
      </c>
      <c r="B5" s="2">
        <v>3</v>
      </c>
      <c r="C5" s="2">
        <f>1 / 5</f>
        <v>0.2</v>
      </c>
      <c r="D5" s="2">
        <v>3</v>
      </c>
      <c r="E5" s="2">
        <v>1</v>
      </c>
      <c r="F5" s="2">
        <f>1 / 3</f>
        <v>0.33333333333333331</v>
      </c>
      <c r="G5" s="2">
        <v>3</v>
      </c>
      <c r="H5" s="2">
        <v>3</v>
      </c>
      <c r="I5" s="2">
        <v>3</v>
      </c>
      <c r="J5" s="2">
        <f>1 / 3</f>
        <v>0.33333333333333331</v>
      </c>
      <c r="K5" s="2">
        <f>1 / 3</f>
        <v>0.33333333333333331</v>
      </c>
      <c r="L5" s="7"/>
    </row>
    <row r="6" spans="1:12" x14ac:dyDescent="0.25">
      <c r="A6" s="4" t="s">
        <v>4</v>
      </c>
      <c r="B6" s="2">
        <v>5</v>
      </c>
      <c r="C6" s="2">
        <f>1 / 3</f>
        <v>0.33333333333333331</v>
      </c>
      <c r="D6" s="2">
        <v>5</v>
      </c>
      <c r="E6" s="2">
        <v>3</v>
      </c>
      <c r="F6" s="2">
        <v>1</v>
      </c>
      <c r="G6" s="2">
        <v>3</v>
      </c>
      <c r="H6" s="2">
        <v>3</v>
      </c>
      <c r="I6" s="2">
        <v>5</v>
      </c>
      <c r="J6" s="2">
        <v>3</v>
      </c>
      <c r="K6" s="2">
        <v>3</v>
      </c>
      <c r="L6" s="7"/>
    </row>
    <row r="7" spans="1:12" x14ac:dyDescent="0.25">
      <c r="A7" s="4" t="s">
        <v>5</v>
      </c>
      <c r="B7" s="2">
        <v>3</v>
      </c>
      <c r="C7" s="2">
        <f>1 / 5</f>
        <v>0.2</v>
      </c>
      <c r="D7" s="2">
        <v>3</v>
      </c>
      <c r="E7" s="2">
        <f>1 / 3</f>
        <v>0.33333333333333331</v>
      </c>
      <c r="F7" s="2">
        <f>1 / 3</f>
        <v>0.33333333333333331</v>
      </c>
      <c r="G7" s="2">
        <v>1</v>
      </c>
      <c r="H7" s="2">
        <v>1</v>
      </c>
      <c r="I7" s="2">
        <v>3</v>
      </c>
      <c r="J7" s="2">
        <f>1 / 3</f>
        <v>0.33333333333333331</v>
      </c>
      <c r="K7" s="2">
        <f>1 / 3</f>
        <v>0.33333333333333331</v>
      </c>
      <c r="L7" s="7"/>
    </row>
    <row r="8" spans="1:12" x14ac:dyDescent="0.25">
      <c r="A8" s="4" t="s">
        <v>6</v>
      </c>
      <c r="B8" s="2">
        <v>3</v>
      </c>
      <c r="C8" s="2">
        <f>1 / 5</f>
        <v>0.2</v>
      </c>
      <c r="D8" s="2">
        <v>3</v>
      </c>
      <c r="E8" s="2">
        <f>1 / 3</f>
        <v>0.33333333333333331</v>
      </c>
      <c r="F8" s="2">
        <f>1 / 3</f>
        <v>0.33333333333333331</v>
      </c>
      <c r="G8" s="2">
        <v>1</v>
      </c>
      <c r="H8" s="2">
        <v>1</v>
      </c>
      <c r="I8" s="2">
        <v>3</v>
      </c>
      <c r="J8" s="2">
        <f>1 / 3</f>
        <v>0.33333333333333331</v>
      </c>
      <c r="K8" s="2">
        <f>1 / 3</f>
        <v>0.33333333333333331</v>
      </c>
      <c r="L8" s="7"/>
    </row>
    <row r="9" spans="1:12" x14ac:dyDescent="0.25">
      <c r="A9" s="4" t="s">
        <v>7</v>
      </c>
      <c r="B9" s="2">
        <v>1</v>
      </c>
      <c r="C9" s="2">
        <f>1 / 7</f>
        <v>0.14285714285714285</v>
      </c>
      <c r="D9" s="2">
        <v>1</v>
      </c>
      <c r="E9" s="2">
        <f>1 / 3</f>
        <v>0.33333333333333331</v>
      </c>
      <c r="F9" s="2">
        <f>1 / 5</f>
        <v>0.2</v>
      </c>
      <c r="G9" s="2">
        <f>1 / 3</f>
        <v>0.33333333333333331</v>
      </c>
      <c r="H9" s="2">
        <f>1 / 3</f>
        <v>0.33333333333333331</v>
      </c>
      <c r="I9" s="2">
        <v>1</v>
      </c>
      <c r="J9" s="2">
        <f>1 / 5</f>
        <v>0.2</v>
      </c>
      <c r="K9" s="2">
        <f>1 / 5</f>
        <v>0.2</v>
      </c>
    </row>
    <row r="10" spans="1:12" x14ac:dyDescent="0.25">
      <c r="A10" s="4" t="s">
        <v>8</v>
      </c>
      <c r="B10" s="2">
        <v>5</v>
      </c>
      <c r="C10" s="2">
        <f>1 / 3</f>
        <v>0.33333333333333331</v>
      </c>
      <c r="D10" s="2">
        <v>3</v>
      </c>
      <c r="E10" s="2">
        <v>3</v>
      </c>
      <c r="F10" s="2">
        <f>1 / 3</f>
        <v>0.33333333333333331</v>
      </c>
      <c r="G10" s="2">
        <v>3</v>
      </c>
      <c r="H10" s="2">
        <v>3</v>
      </c>
      <c r="I10" s="2">
        <v>5</v>
      </c>
      <c r="J10" s="2">
        <v>1</v>
      </c>
      <c r="K10" s="2">
        <f>1 / 3</f>
        <v>0.33333333333333331</v>
      </c>
    </row>
    <row r="11" spans="1:12" x14ac:dyDescent="0.25">
      <c r="A11" s="4" t="s">
        <v>9</v>
      </c>
      <c r="B11" s="2">
        <v>5</v>
      </c>
      <c r="C11" s="2">
        <f>1 / 3</f>
        <v>0.33333333333333331</v>
      </c>
      <c r="D11" s="2">
        <v>3</v>
      </c>
      <c r="E11" s="2">
        <v>3</v>
      </c>
      <c r="F11" s="2">
        <f>1 / 3</f>
        <v>0.33333333333333331</v>
      </c>
      <c r="G11" s="2">
        <v>3</v>
      </c>
      <c r="H11" s="2">
        <v>3</v>
      </c>
      <c r="I11" s="2">
        <v>5</v>
      </c>
      <c r="J11" s="2">
        <v>3</v>
      </c>
      <c r="K11" s="2">
        <v>1</v>
      </c>
    </row>
    <row r="15" spans="1:12" x14ac:dyDescent="0.25">
      <c r="L15" s="3"/>
    </row>
    <row r="16" spans="1:12" x14ac:dyDescent="0.25">
      <c r="L16" s="3"/>
    </row>
    <row r="17" spans="12:12" x14ac:dyDescent="0.25">
      <c r="L17" s="3"/>
    </row>
  </sheetData>
  <pageMargins left="0.7" right="0.7" top="0.75" bottom="0.75" header="0.3" footer="0.3"/>
  <ignoredErrors>
    <ignoredError sqref="K9 F9 F4 C6 F2" formula="1"/>
  </ignoredErrors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Metode AHP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Drajad</dc:creator>
  <cp:lastModifiedBy>andreas masdiyanto</cp:lastModifiedBy>
  <dcterms:created xsi:type="dcterms:W3CDTF">2015-06-05T18:17:20Z</dcterms:created>
  <dcterms:modified xsi:type="dcterms:W3CDTF">2025-12-27T08:07:06Z</dcterms:modified>
</cp:coreProperties>
</file>